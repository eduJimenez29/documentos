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8_{5056DD7A-D2E2-4E35-A7EC-737B3D517938}" xr6:coauthVersionLast="47" xr6:coauthVersionMax="47" xr10:uidLastSave="{00000000-0000-0000-0000-000000000000}"/>
  <bookViews>
    <workbookView xWindow="-108" yWindow="-108" windowWidth="23256" windowHeight="12456" xr2:uid="{DAF20C2D-A68B-44DA-9FF6-9AF185916190}"/>
  </bookViews>
  <sheets>
    <sheet name="Hoja1" sheetId="1" r:id="rId1"/>
  </sheets>
  <definedNames>
    <definedName name="_xlchart.v2.0" hidden="1">Hoja1!$P$12:$P$14</definedName>
    <definedName name="_xlchart.v2.1" hidden="1">Hoja1!$Q$12:$Q$14</definedName>
    <definedName name="_xlchart.v2.10" hidden="1">Hoja1!$Q$12:$Q$14</definedName>
    <definedName name="_xlchart.v2.11" hidden="1">Hoja1!$R$12:$R$14</definedName>
    <definedName name="_xlchart.v2.12" hidden="1">Hoja1!$P$12:$P$14</definedName>
    <definedName name="_xlchart.v2.13" hidden="1">Hoja1!$Q$12:$Q$14</definedName>
    <definedName name="_xlchart.v2.14" hidden="1">Hoja1!$R$12:$R$14</definedName>
    <definedName name="_xlchart.v2.15" hidden="1">Hoja1!$P$12:$P$14</definedName>
    <definedName name="_xlchart.v2.16" hidden="1">Hoja1!$Q$12:$Q$14</definedName>
    <definedName name="_xlchart.v2.17" hidden="1">Hoja1!$R$12:$R$14</definedName>
    <definedName name="_xlchart.v2.2" hidden="1">Hoja1!$P$12:$P$14</definedName>
    <definedName name="_xlchart.v2.3" hidden="1">Hoja1!$Q$12:$Q$14</definedName>
    <definedName name="_xlchart.v2.4" hidden="1">Hoja1!$X$11:$X$13</definedName>
    <definedName name="_xlchart.v2.5" hidden="1">Hoja1!$Y$11:$Y$13</definedName>
    <definedName name="_xlchart.v2.6" hidden="1">Hoja1!$Z$11:$Z$13</definedName>
    <definedName name="_xlchart.v2.7" hidden="1">Hoja1!$P$12:$P$14</definedName>
    <definedName name="_xlchart.v2.8" hidden="1">Hoja1!$Q$12:$Q$14</definedName>
    <definedName name="_xlchart.v2.9" hidden="1">Hoja1!$P$12:$P$14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5" i="1"/>
  <c r="P3" i="1"/>
  <c r="E25" i="1"/>
  <c r="L26" i="1"/>
  <c r="M27" i="1"/>
  <c r="M28" i="1"/>
  <c r="L29" i="1"/>
  <c r="L30" i="1"/>
  <c r="L31" i="1"/>
  <c r="L25" i="1"/>
  <c r="K26" i="1"/>
  <c r="K27" i="1"/>
  <c r="K28" i="1"/>
  <c r="K29" i="1"/>
  <c r="K30" i="1"/>
  <c r="K31" i="1"/>
  <c r="K25" i="1"/>
  <c r="D6" i="1"/>
  <c r="E26" i="1"/>
  <c r="Z13" i="1"/>
  <c r="Z12" i="1"/>
  <c r="E27" i="1"/>
  <c r="E28" i="1"/>
  <c r="E29" i="1"/>
  <c r="E30" i="1"/>
  <c r="E31" i="1"/>
  <c r="F26" i="1"/>
  <c r="A6" i="1"/>
  <c r="J6" i="1" l="1"/>
  <c r="K6" i="1"/>
  <c r="F25" i="1"/>
  <c r="G6" i="1"/>
  <c r="H6" i="1"/>
  <c r="F30" i="1"/>
  <c r="F29" i="1"/>
  <c r="G28" i="1"/>
  <c r="G27" i="1"/>
</calcChain>
</file>

<file path=xl/sharedStrings.xml><?xml version="1.0" encoding="utf-8"?>
<sst xmlns="http://schemas.openxmlformats.org/spreadsheetml/2006/main" count="32" uniqueCount="28">
  <si>
    <t xml:space="preserve">Facturación - Comunicación </t>
  </si>
  <si>
    <t>Facturación</t>
  </si>
  <si>
    <t>CcC</t>
  </si>
  <si>
    <t>% CcC</t>
  </si>
  <si>
    <t xml:space="preserve">$      Facturación </t>
  </si>
  <si>
    <t>%     CcC</t>
  </si>
  <si>
    <t>-$    Costo Unitario</t>
  </si>
  <si>
    <t>&lt;-    Envios</t>
  </si>
  <si>
    <t xml:space="preserve">Resumen por Canal </t>
  </si>
  <si>
    <t>Canal</t>
  </si>
  <si>
    <t xml:space="preserve">Enviados </t>
  </si>
  <si>
    <t>%</t>
  </si>
  <si>
    <t>TxN</t>
  </si>
  <si>
    <t>Email</t>
  </si>
  <si>
    <t>Sms</t>
  </si>
  <si>
    <t>Pop Up</t>
  </si>
  <si>
    <t>GC</t>
  </si>
  <si>
    <t>Abrio</t>
  </si>
  <si>
    <t>No abrio</t>
  </si>
  <si>
    <t>Insights</t>
  </si>
  <si>
    <t>Comunicado</t>
  </si>
  <si>
    <t>GP</t>
  </si>
  <si>
    <t>TP</t>
  </si>
  <si>
    <t xml:space="preserve">Incremento las CcC (16%) </t>
  </si>
  <si>
    <t>Pop Up con mayor respuesta de compra</t>
  </si>
  <si>
    <t>Sms mala respuesta de compra</t>
  </si>
  <si>
    <t>pero gastaron menos vs GC (-79%)</t>
  </si>
  <si>
    <t>Recomendación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</si>
</sst>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9" formatCode="0.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002060"/>
      <name val="Bradescard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/>
      <diagonal/>
    </border>
    <border>
      <left/>
      <right/>
      <top style="double">
        <color theme="0" tint="-0.24994659260841701"/>
      </top>
      <bottom/>
      <diagonal/>
    </border>
    <border>
      <left/>
      <right style="double">
        <color theme="0" tint="-0.24994659260841701"/>
      </right>
      <top style="double">
        <color theme="0" tint="-0.24994659260841701"/>
      </top>
      <bottom/>
      <diagonal/>
    </border>
    <border>
      <left style="double">
        <color theme="0" tint="-0.24994659260841701"/>
      </left>
      <right/>
      <top/>
      <bottom style="double">
        <color theme="0" tint="-0.24994659260841701"/>
      </bottom>
      <diagonal/>
    </border>
    <border>
      <left/>
      <right/>
      <top/>
      <bottom style="double">
        <color theme="0" tint="-0.24994659260841701"/>
      </bottom>
      <diagonal/>
    </border>
    <border>
      <left/>
      <right style="double">
        <color theme="0" tint="-0.24994659260841701"/>
      </right>
      <top/>
      <bottom style="double">
        <color theme="0" tint="-0.24994659260841701"/>
      </bottom>
      <diagonal/>
    </border>
    <border>
      <left style="double">
        <color theme="0" tint="-0.24994659260841701"/>
      </left>
      <right/>
      <top/>
      <bottom/>
      <diagonal/>
    </border>
    <border>
      <left/>
      <right style="double">
        <color theme="0" tint="-0.24994659260841701"/>
      </right>
      <top/>
      <bottom/>
      <diagonal/>
    </border>
    <border>
      <left style="double">
        <color theme="0" tint="-0.24994659260841701"/>
      </left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/>
      <top style="double">
        <color theme="0" tint="-0.24994659260841701"/>
      </top>
      <bottom style="double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/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3" fillId="0" borderId="0" xfId="0" applyFont="1" applyBorder="1" applyAlignment="1"/>
    <xf numFmtId="0" fontId="3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0" fillId="0" borderId="6" xfId="0" applyBorder="1"/>
    <xf numFmtId="0" fontId="0" fillId="0" borderId="8" xfId="0" applyBorder="1" applyAlignment="1">
      <alignment horizontal="center"/>
    </xf>
    <xf numFmtId="0" fontId="5" fillId="0" borderId="9" xfId="0" applyFont="1" applyBorder="1" applyAlignment="1">
      <alignment horizontal="center"/>
    </xf>
    <xf numFmtId="3" fontId="0" fillId="0" borderId="0" xfId="0" applyNumberFormat="1"/>
    <xf numFmtId="3" fontId="5" fillId="0" borderId="8" xfId="0" applyNumberFormat="1" applyFont="1" applyBorder="1" applyAlignment="1">
      <alignment horizontal="center"/>
    </xf>
    <xf numFmtId="3" fontId="5" fillId="0" borderId="9" xfId="0" applyNumberFormat="1" applyFont="1" applyBorder="1" applyAlignment="1">
      <alignment horizontal="center"/>
    </xf>
    <xf numFmtId="9" fontId="0" fillId="0" borderId="0" xfId="2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0" fontId="0" fillId="0" borderId="0" xfId="2" applyNumberFormat="1" applyFont="1"/>
    <xf numFmtId="8" fontId="5" fillId="0" borderId="8" xfId="0" applyNumberFormat="1" applyFont="1" applyBorder="1" applyAlignment="1">
      <alignment horizontal="center"/>
    </xf>
    <xf numFmtId="9" fontId="5" fillId="0" borderId="8" xfId="0" applyNumberFormat="1" applyFont="1" applyBorder="1" applyAlignment="1">
      <alignment horizontal="center" vertical="center"/>
    </xf>
    <xf numFmtId="0" fontId="0" fillId="0" borderId="13" xfId="0" applyBorder="1"/>
    <xf numFmtId="3" fontId="0" fillId="0" borderId="13" xfId="0" applyNumberFormat="1" applyBorder="1"/>
    <xf numFmtId="0" fontId="0" fillId="0" borderId="13" xfId="0" applyBorder="1" applyAlignment="1">
      <alignment horizontal="right"/>
    </xf>
    <xf numFmtId="9" fontId="0" fillId="0" borderId="13" xfId="2" applyFont="1" applyBorder="1" applyAlignment="1">
      <alignment horizontal="right"/>
    </xf>
    <xf numFmtId="44" fontId="0" fillId="0" borderId="13" xfId="1" applyFont="1" applyBorder="1"/>
    <xf numFmtId="3" fontId="0" fillId="0" borderId="14" xfId="0" applyNumberForma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9" fontId="4" fillId="0" borderId="9" xfId="2" applyFont="1" applyBorder="1" applyAlignment="1"/>
    <xf numFmtId="8" fontId="5" fillId="0" borderId="8" xfId="2" applyNumberFormat="1" applyFont="1" applyBorder="1" applyAlignment="1">
      <alignment horizontal="center"/>
    </xf>
    <xf numFmtId="8" fontId="0" fillId="0" borderId="20" xfId="0" applyNumberFormat="1" applyBorder="1"/>
    <xf numFmtId="8" fontId="0" fillId="0" borderId="13" xfId="0" applyNumberFormat="1" applyBorder="1"/>
    <xf numFmtId="0" fontId="0" fillId="0" borderId="3" xfId="0" applyBorder="1" applyAlignment="1"/>
    <xf numFmtId="0" fontId="0" fillId="0" borderId="0" xfId="0" applyFill="1" applyBorder="1"/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2" fillId="0" borderId="9" xfId="0" applyNumberFormat="1" applyFont="1" applyBorder="1"/>
    <xf numFmtId="4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8" fontId="0" fillId="0" borderId="15" xfId="0" applyNumberFormat="1" applyBorder="1" applyAlignment="1">
      <alignment horizontal="right"/>
    </xf>
    <xf numFmtId="8" fontId="0" fillId="0" borderId="16" xfId="0" applyNumberFormat="1" applyBorder="1" applyAlignment="1">
      <alignment horizontal="right"/>
    </xf>
    <xf numFmtId="8" fontId="0" fillId="0" borderId="17" xfId="0" applyNumberFormat="1" applyBorder="1" applyAlignment="1">
      <alignment horizontal="right"/>
    </xf>
    <xf numFmtId="8" fontId="0" fillId="0" borderId="18" xfId="0" applyNumberFormat="1" applyBorder="1" applyAlignment="1">
      <alignment horizontal="right"/>
    </xf>
    <xf numFmtId="8" fontId="0" fillId="0" borderId="13" xfId="0" applyNumberFormat="1" applyBorder="1" applyAlignment="1">
      <alignment horizontal="right"/>
    </xf>
    <xf numFmtId="9" fontId="0" fillId="0" borderId="15" xfId="2" applyFont="1" applyBorder="1" applyAlignment="1">
      <alignment horizontal="right"/>
    </xf>
    <xf numFmtId="9" fontId="0" fillId="0" borderId="16" xfId="2" applyFont="1" applyBorder="1" applyAlignment="1">
      <alignment horizontal="right"/>
    </xf>
    <xf numFmtId="9" fontId="0" fillId="0" borderId="17" xfId="2" applyFont="1" applyBorder="1" applyAlignment="1">
      <alignment horizontal="right"/>
    </xf>
    <xf numFmtId="9" fontId="0" fillId="0" borderId="18" xfId="2" applyFont="1" applyBorder="1" applyAlignment="1">
      <alignment horizontal="right"/>
    </xf>
    <xf numFmtId="0" fontId="3" fillId="0" borderId="19" xfId="0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/>
    <xf numFmtId="0" fontId="3" fillId="0" borderId="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" xfId="0" applyFont="1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169" fontId="0" fillId="0" borderId="14" xfId="2" applyNumberFormat="1" applyFont="1" applyBorder="1"/>
    <xf numFmtId="169" fontId="0" fillId="0" borderId="13" xfId="2" applyNumberFormat="1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Facturación</a:t>
            </a:r>
            <a:r>
              <a:rPr lang="en-US" b="1" baseline="0">
                <a:solidFill>
                  <a:srgbClr val="002060"/>
                </a:solidFill>
              </a:rPr>
              <a:t> por Canal</a:t>
            </a:r>
            <a:endParaRPr lang="en-US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Fact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Hoja1!$A$26:$A$30</c:f>
              <c:strCache>
                <c:ptCount val="3"/>
                <c:pt idx="0">
                  <c:v>Email</c:v>
                </c:pt>
                <c:pt idx="1">
                  <c:v>Sms</c:v>
                </c:pt>
                <c:pt idx="2">
                  <c:v>Pop Up</c:v>
                </c:pt>
              </c:strCache>
            </c:strRef>
          </c:cat>
          <c:val>
            <c:numRef>
              <c:f>Hoja1!$J$26:$J$30</c:f>
              <c:numCache>
                <c:formatCode>_("$"* #,##0.00_);_("$"* \(#,##0.00\);_("$"* "-"??_);_(@_)</c:formatCode>
                <c:ptCount val="3"/>
                <c:pt idx="0">
                  <c:v>818273</c:v>
                </c:pt>
                <c:pt idx="1">
                  <c:v>93718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2-46AE-AC69-4027DEB80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7829856"/>
        <c:axId val="1797830336"/>
      </c:barChart>
      <c:catAx>
        <c:axId val="17978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830336"/>
        <c:crosses val="autoZero"/>
        <c:auto val="1"/>
        <c:lblAlgn val="ctr"/>
        <c:lblOffset val="100"/>
        <c:noMultiLvlLbl val="0"/>
      </c:catAx>
      <c:valAx>
        <c:axId val="17978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78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txData>
          <cx:v>Embudo de Apertura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rgbClr val="002060"/>
              </a:solidFill>
            </a:defRPr>
          </a:pPr>
          <a:r>
            <a:rPr lang="es-ES" sz="1400" b="1" i="0" u="none" strike="noStrike" baseline="0">
              <a:solidFill>
                <a:srgbClr val="002060"/>
              </a:solidFill>
              <a:latin typeface="Aptos Narrow" panose="02110004020202020204"/>
            </a:rPr>
            <a:t>Embudo de Apertura</a:t>
          </a:r>
        </a:p>
      </cx:txPr>
    </cx:title>
    <cx:plotArea>
      <cx:plotAreaRegion>
        <cx:series layoutId="funnel" uniqueId="{4AFA9882-5C3C-4A38-807D-3E062C72F6CA}" formatIdx="0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76200</xdr:rowOff>
    </xdr:from>
    <xdr:to>
      <xdr:col>6</xdr:col>
      <xdr:colOff>739140</xdr:colOff>
      <xdr:row>20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3FEE0B-1829-69C4-70F6-73A69DEF9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963930</xdr:colOff>
      <xdr:row>7</xdr:row>
      <xdr:rowOff>68580</xdr:rowOff>
    </xdr:from>
    <xdr:to>
      <xdr:col>13</xdr:col>
      <xdr:colOff>769620</xdr:colOff>
      <xdr:row>20</xdr:row>
      <xdr:rowOff>148590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A1F3FCE-8F79-B75B-79B5-5538776E1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0550" y="1417320"/>
              <a:ext cx="4758690" cy="2465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5EB6-D7D8-4DE8-91B5-5BDE09B36CAB}">
  <dimension ref="A1:Z31"/>
  <sheetViews>
    <sheetView showGridLines="0" tabSelected="1" zoomScale="90" zoomScaleNormal="90" workbookViewId="0">
      <selection activeCell="R13" sqref="R13"/>
    </sheetView>
  </sheetViews>
  <sheetFormatPr baseColWidth="10" defaultRowHeight="14.4" outlineLevelRow="1"/>
  <cols>
    <col min="3" max="3" width="1.109375" customWidth="1"/>
    <col min="6" max="6" width="2.77734375" customWidth="1"/>
    <col min="7" max="7" width="20.88671875" bestFit="1" customWidth="1"/>
    <col min="9" max="9" width="1.33203125" customWidth="1"/>
    <col min="10" max="10" width="18" customWidth="1"/>
    <col min="11" max="11" width="11.5546875" customWidth="1"/>
    <col min="12" max="12" width="1.33203125" customWidth="1"/>
    <col min="15" max="15" width="2.6640625" customWidth="1"/>
    <col min="16" max="16" width="6.21875" customWidth="1"/>
    <col min="18" max="18" width="23.109375" customWidth="1"/>
  </cols>
  <sheetData>
    <row r="1" spans="1:26" ht="15" thickBot="1"/>
    <row r="2" spans="1:26" ht="15" customHeight="1" thickTop="1" thickBot="1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P2" s="18" t="s">
        <v>19</v>
      </c>
      <c r="Q2" s="19"/>
      <c r="R2" s="20"/>
    </row>
    <row r="3" spans="1:26" ht="15" customHeight="1" thickTop="1" thickBot="1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P3" s="51">
        <f>IF(H6&gt;0.2,1,IF(H6&gt;0,2,3))</f>
        <v>2</v>
      </c>
      <c r="Q3" s="49" t="s">
        <v>23</v>
      </c>
      <c r="R3" s="6"/>
    </row>
    <row r="4" spans="1:26" ht="15" thickTop="1">
      <c r="A4" s="13" t="s">
        <v>7</v>
      </c>
      <c r="B4" s="14"/>
      <c r="C4" s="12"/>
      <c r="D4" s="15" t="s">
        <v>4</v>
      </c>
      <c r="E4" s="16"/>
      <c r="G4" s="15" t="s">
        <v>5</v>
      </c>
      <c r="H4" s="16"/>
      <c r="J4" s="15" t="s">
        <v>21</v>
      </c>
      <c r="K4" s="16"/>
      <c r="M4" s="17" t="s">
        <v>6</v>
      </c>
      <c r="N4" s="16"/>
      <c r="P4" s="52"/>
      <c r="Q4" s="11" t="s">
        <v>26</v>
      </c>
      <c r="R4" s="8"/>
    </row>
    <row r="5" spans="1:26">
      <c r="A5" s="2"/>
      <c r="B5" s="3"/>
      <c r="C5" s="11"/>
      <c r="D5" s="7"/>
      <c r="E5" s="8"/>
      <c r="G5" s="7"/>
      <c r="H5" s="8"/>
      <c r="J5" s="7"/>
      <c r="K5" s="8"/>
      <c r="M5" s="7"/>
      <c r="N5" s="8"/>
      <c r="P5" s="22">
        <f>IF(F30&gt;0.2,1,IF(F30&gt;0,2,3))</f>
        <v>1</v>
      </c>
      <c r="Q5" s="11" t="s">
        <v>24</v>
      </c>
      <c r="R5" s="8"/>
    </row>
    <row r="6" spans="1:26" ht="18">
      <c r="A6" s="25">
        <f>SUM(B26:B30)</f>
        <v>243068</v>
      </c>
      <c r="B6" s="26"/>
      <c r="C6" s="11"/>
      <c r="D6" s="35">
        <f>J25</f>
        <v>915639</v>
      </c>
      <c r="E6" s="23"/>
      <c r="G6" s="36">
        <f>E25</f>
        <v>1.7122780456497771E-2</v>
      </c>
      <c r="H6" s="53">
        <f>F25</f>
        <v>0.16379839909755556</v>
      </c>
      <c r="J6" s="46">
        <f>K25</f>
        <v>219.9997597308986</v>
      </c>
      <c r="K6" s="45">
        <f>K25/K31-1</f>
        <v>-0.79027243670507041</v>
      </c>
      <c r="M6" s="7"/>
      <c r="N6" s="8"/>
      <c r="P6" s="22">
        <f>IF(F31&gt;0.2,1,IF(F31&gt;0,2,3))</f>
        <v>3</v>
      </c>
      <c r="Q6" s="50" t="s">
        <v>25</v>
      </c>
      <c r="R6" s="8"/>
    </row>
    <row r="7" spans="1:26" ht="15" thickBot="1">
      <c r="A7" s="4"/>
      <c r="B7" s="5"/>
      <c r="C7" s="11"/>
      <c r="D7" s="9"/>
      <c r="E7" s="10"/>
      <c r="G7" s="9"/>
      <c r="H7" s="10"/>
      <c r="J7" s="9"/>
      <c r="K7" s="10"/>
      <c r="M7" s="9"/>
      <c r="N7" s="10"/>
      <c r="P7" s="7"/>
      <c r="Q7" s="11"/>
      <c r="R7" s="8"/>
    </row>
    <row r="8" spans="1:26" ht="15" thickTop="1">
      <c r="A8" s="1"/>
      <c r="B8" s="1"/>
      <c r="P8" s="7"/>
      <c r="Q8" s="50" t="s">
        <v>27</v>
      </c>
      <c r="R8" s="8"/>
    </row>
    <row r="9" spans="1:26" ht="15" thickBot="1">
      <c r="P9" s="9"/>
      <c r="Q9" s="21"/>
      <c r="R9" s="10"/>
    </row>
    <row r="10" spans="1:26" ht="15" thickTop="1"/>
    <row r="11" spans="1:26">
      <c r="X11" t="s">
        <v>10</v>
      </c>
      <c r="Y11" s="24">
        <v>84061</v>
      </c>
      <c r="Z11" s="27">
        <v>1</v>
      </c>
    </row>
    <row r="12" spans="1:26">
      <c r="X12" s="24" t="s">
        <v>17</v>
      </c>
      <c r="Y12" s="24">
        <v>55900</v>
      </c>
      <c r="Z12" s="27">
        <f>Y12/Y11</f>
        <v>0.66499327869047475</v>
      </c>
    </row>
    <row r="13" spans="1:26">
      <c r="X13" t="s">
        <v>2</v>
      </c>
      <c r="Y13">
        <v>500</v>
      </c>
      <c r="Z13" s="34">
        <f>Y13/Y11</f>
        <v>5.9480615267484323E-3</v>
      </c>
    </row>
    <row r="22" spans="1:13" ht="15" thickBot="1"/>
    <row r="23" spans="1:13" ht="15.6" thickTop="1" thickBot="1">
      <c r="A23" s="18" t="s">
        <v>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</row>
    <row r="24" spans="1:13" ht="15.6" thickTop="1" thickBot="1">
      <c r="A24" s="70" t="s">
        <v>9</v>
      </c>
      <c r="B24" s="70" t="s">
        <v>10</v>
      </c>
      <c r="C24" s="71" t="s">
        <v>2</v>
      </c>
      <c r="D24" s="72"/>
      <c r="E24" s="70" t="s">
        <v>3</v>
      </c>
      <c r="F24" s="73"/>
      <c r="G24" s="74" t="s">
        <v>11</v>
      </c>
      <c r="H24" s="71" t="s">
        <v>12</v>
      </c>
      <c r="I24" s="72"/>
      <c r="J24" s="75" t="s">
        <v>1</v>
      </c>
      <c r="K24" s="76" t="s">
        <v>21</v>
      </c>
      <c r="L24" s="77" t="s">
        <v>22</v>
      </c>
      <c r="M24" s="78"/>
    </row>
    <row r="25" spans="1:13" ht="15" thickTop="1">
      <c r="A25" s="79" t="s">
        <v>20</v>
      </c>
      <c r="B25" s="42">
        <v>243068</v>
      </c>
      <c r="C25" s="55">
        <v>4162</v>
      </c>
      <c r="D25" s="56"/>
      <c r="E25" s="81">
        <f>C25/B25</f>
        <v>1.7122780456497771E-2</v>
      </c>
      <c r="F25" s="66">
        <f>E25/E31-1</f>
        <v>0.16379839909755556</v>
      </c>
      <c r="G25" s="67"/>
      <c r="H25" s="55">
        <v>3933</v>
      </c>
      <c r="I25" s="56"/>
      <c r="J25" s="54">
        <v>915639</v>
      </c>
      <c r="K25" s="47">
        <f>J25/C25</f>
        <v>219.9997597308986</v>
      </c>
      <c r="L25" s="61">
        <f>J25/H25</f>
        <v>232.80930587337909</v>
      </c>
      <c r="M25" s="62"/>
    </row>
    <row r="26" spans="1:13">
      <c r="A26" s="80" t="s">
        <v>13</v>
      </c>
      <c r="B26" s="38">
        <v>84061</v>
      </c>
      <c r="C26" s="57">
        <v>789</v>
      </c>
      <c r="D26" s="58"/>
      <c r="E26" s="82">
        <f>C26/B26</f>
        <v>9.3860410892090268E-3</v>
      </c>
      <c r="F26" s="68">
        <f>E26/$E$31-1</f>
        <v>-0.36205106283774746</v>
      </c>
      <c r="G26" s="69"/>
      <c r="H26" s="57">
        <v>815</v>
      </c>
      <c r="I26" s="58"/>
      <c r="J26" s="41">
        <v>818273</v>
      </c>
      <c r="K26" s="48">
        <f t="shared" ref="K26:K31" si="0">J26/C26</f>
        <v>1037.1013941698352</v>
      </c>
      <c r="L26" s="63">
        <f>J26/H26</f>
        <v>1004.0159509202454</v>
      </c>
      <c r="M26" s="64"/>
    </row>
    <row r="27" spans="1:13" hidden="1" outlineLevel="1">
      <c r="A27" s="80" t="s">
        <v>17</v>
      </c>
      <c r="B27" s="37"/>
      <c r="C27" s="39"/>
      <c r="D27" s="39"/>
      <c r="E27" s="82" t="e">
        <f t="shared" ref="E27:E31" si="1">D27/B27</f>
        <v>#DIV/0!</v>
      </c>
      <c r="F27" s="39"/>
      <c r="G27" s="40" t="e">
        <f t="shared" ref="G27:G30" si="2">E27/$E$31-1</f>
        <v>#DIV/0!</v>
      </c>
      <c r="H27" s="39"/>
      <c r="I27" s="39"/>
      <c r="J27" s="41"/>
      <c r="K27" s="48" t="e">
        <f t="shared" si="0"/>
        <v>#DIV/0!</v>
      </c>
      <c r="L27" s="39"/>
      <c r="M27" s="65" t="e">
        <f t="shared" ref="M26:M31" si="3">J27/H27</f>
        <v>#DIV/0!</v>
      </c>
    </row>
    <row r="28" spans="1:13" hidden="1" outlineLevel="1">
      <c r="A28" s="80" t="s">
        <v>18</v>
      </c>
      <c r="B28" s="37"/>
      <c r="C28" s="39"/>
      <c r="D28" s="39"/>
      <c r="E28" s="82" t="e">
        <f t="shared" si="1"/>
        <v>#DIV/0!</v>
      </c>
      <c r="F28" s="39"/>
      <c r="G28" s="40" t="e">
        <f t="shared" si="2"/>
        <v>#DIV/0!</v>
      </c>
      <c r="H28" s="39"/>
      <c r="I28" s="39"/>
      <c r="J28" s="41"/>
      <c r="K28" s="48" t="e">
        <f t="shared" si="0"/>
        <v>#DIV/0!</v>
      </c>
      <c r="L28" s="39"/>
      <c r="M28" s="65" t="e">
        <f t="shared" si="3"/>
        <v>#DIV/0!</v>
      </c>
    </row>
    <row r="29" spans="1:13" collapsed="1">
      <c r="A29" s="80" t="s">
        <v>14</v>
      </c>
      <c r="B29" s="38">
        <v>11787</v>
      </c>
      <c r="C29" s="57">
        <v>69</v>
      </c>
      <c r="D29" s="58"/>
      <c r="E29" s="82">
        <f>C29/B29</f>
        <v>5.8539068465258337E-3</v>
      </c>
      <c r="F29" s="68">
        <f>E29/$E$31-1</f>
        <v>-0.60212259721710848</v>
      </c>
      <c r="G29" s="69"/>
      <c r="H29" s="57">
        <v>71</v>
      </c>
      <c r="I29" s="58"/>
      <c r="J29" s="41">
        <v>93718</v>
      </c>
      <c r="K29" s="48">
        <f t="shared" si="0"/>
        <v>1358.231884057971</v>
      </c>
      <c r="L29" s="63">
        <f>J29/H29</f>
        <v>1319.9718309859154</v>
      </c>
      <c r="M29" s="64"/>
    </row>
    <row r="30" spans="1:13">
      <c r="A30" s="80" t="s">
        <v>15</v>
      </c>
      <c r="B30" s="38">
        <v>147220</v>
      </c>
      <c r="C30" s="59">
        <v>3304</v>
      </c>
      <c r="D30" s="60"/>
      <c r="E30" s="82">
        <f>C30/B30</f>
        <v>2.2442602907213696E-2</v>
      </c>
      <c r="F30" s="68">
        <f>E30/$E$31-1</f>
        <v>0.52537523922324825</v>
      </c>
      <c r="G30" s="69"/>
      <c r="H30" s="59">
        <v>3047</v>
      </c>
      <c r="I30" s="60"/>
      <c r="J30" s="41">
        <v>3648</v>
      </c>
      <c r="K30" s="48">
        <f t="shared" si="0"/>
        <v>1.1041162227602905</v>
      </c>
      <c r="L30" s="63">
        <f>J30/H30</f>
        <v>1.1972431900229734</v>
      </c>
      <c r="M30" s="64"/>
    </row>
    <row r="31" spans="1:13">
      <c r="A31" s="80" t="s">
        <v>16</v>
      </c>
      <c r="B31" s="38">
        <v>112011</v>
      </c>
      <c r="C31" s="59">
        <v>1648</v>
      </c>
      <c r="D31" s="60"/>
      <c r="E31" s="82">
        <f>C31/B31</f>
        <v>1.4712840703145227E-2</v>
      </c>
      <c r="F31" s="43"/>
      <c r="G31" s="44"/>
      <c r="H31" s="59">
        <v>1704</v>
      </c>
      <c r="I31" s="60"/>
      <c r="J31" s="41">
        <v>1728717</v>
      </c>
      <c r="K31" s="48">
        <f t="shared" si="0"/>
        <v>1048.9787621359224</v>
      </c>
      <c r="L31" s="63">
        <f>J31/H31</f>
        <v>1014.5052816901408</v>
      </c>
      <c r="M31" s="64"/>
    </row>
  </sheetData>
  <mergeCells count="34">
    <mergeCell ref="L30:M30"/>
    <mergeCell ref="L31:M31"/>
    <mergeCell ref="P2:R2"/>
    <mergeCell ref="P3:P4"/>
    <mergeCell ref="H25:I25"/>
    <mergeCell ref="H26:I26"/>
    <mergeCell ref="H29:I29"/>
    <mergeCell ref="H30:I30"/>
    <mergeCell ref="H31:I31"/>
    <mergeCell ref="A23:M23"/>
    <mergeCell ref="L24:M24"/>
    <mergeCell ref="L25:M25"/>
    <mergeCell ref="L26:M26"/>
    <mergeCell ref="L29:M29"/>
    <mergeCell ref="F25:G25"/>
    <mergeCell ref="F26:G26"/>
    <mergeCell ref="F29:G29"/>
    <mergeCell ref="F30:G30"/>
    <mergeCell ref="F31:G31"/>
    <mergeCell ref="C25:D25"/>
    <mergeCell ref="C26:D26"/>
    <mergeCell ref="C29:D29"/>
    <mergeCell ref="C30:D30"/>
    <mergeCell ref="C31:D31"/>
    <mergeCell ref="C24:D24"/>
    <mergeCell ref="H24:I24"/>
    <mergeCell ref="A6:B6"/>
    <mergeCell ref="D6:E6"/>
    <mergeCell ref="A4:B4"/>
    <mergeCell ref="D4:E4"/>
    <mergeCell ref="G4:H4"/>
    <mergeCell ref="J4:K4"/>
    <mergeCell ref="M4:N4"/>
    <mergeCell ref="A2:N3"/>
  </mergeCells>
  <conditionalFormatting sqref="H6">
    <cfRule type="iconSet" priority="6">
      <iconSet iconSet="3Arrows">
        <cfvo type="percent" val="0"/>
        <cfvo type="percent" val="0"/>
        <cfvo type="num" val="0"/>
      </iconSet>
    </cfRule>
  </conditionalFormatting>
  <conditionalFormatting sqref="K6">
    <cfRule type="iconSet" priority="5">
      <iconSet iconSet="3Arrows">
        <cfvo type="percent" val="0"/>
        <cfvo type="num" val="0"/>
        <cfvo type="num" val="3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5709C0D5-AFDE-4905-8EAD-9AD72E011B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G27:G28 F29:F30 F25:F26</xm:sqref>
        </x14:conditionalFormatting>
        <x14:conditionalFormatting xmlns:xm="http://schemas.microsoft.com/office/excel/2006/main">
          <x14:cfRule type="iconSet" priority="2" id="{BAC5DC62-9116-441F-A809-0C1B50D4BDC1}">
            <x14:iconSet iconSet="3Flag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P3:P4</xm:sqref>
        </x14:conditionalFormatting>
        <x14:conditionalFormatting xmlns:xm="http://schemas.microsoft.com/office/excel/2006/main">
          <x14:cfRule type="iconSet" priority="1" id="{978BC139-976E-421D-9A02-A0D9C938882F}">
            <x14:iconSet iconSet="3Flag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P5:P6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RAMIREZ, EDUARDO</dc:creator>
  <cp:lastModifiedBy>JIMENEZ RAMIREZ, EDUARDO</cp:lastModifiedBy>
  <dcterms:created xsi:type="dcterms:W3CDTF">2026-04-19T18:17:05Z</dcterms:created>
  <dcterms:modified xsi:type="dcterms:W3CDTF">2026-04-20T03:15:06Z</dcterms:modified>
</cp:coreProperties>
</file>